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rdiler" state="visible" r:id="rId4"/>
    <sheet sheetId="2" name="Hesaplama" state="visible" r:id="rId5"/>
    <sheet sheetId="3" name="Özet" state="visible" r:id="rId6"/>
  </sheets>
  <calcPr calcId="171027"/>
</workbook>
</file>

<file path=xl/sharedStrings.xml><?xml version="1.0" encoding="utf-8"?>
<sst xmlns="http://schemas.openxmlformats.org/spreadsheetml/2006/main" count="81" uniqueCount="70">
  <si>
    <t>GAUGE — MALİYET &amp; MARJ MODELİ · GİRDİLER</t>
  </si>
  <si>
    <t>Sarı hücreleri kendi tahminlerinle değiştir. "Hesaplama" ve "Özet" sekmeleri otomatik güncellenir.</t>
  </si>
  <si>
    <t>ABONELİK PLANLARI</t>
  </si>
  <si>
    <t>Plan</t>
  </si>
  <si>
    <t>Aylık Fiyat ($)</t>
  </si>
  <si>
    <t>Müşteri Sayısı</t>
  </si>
  <si>
    <t>Ort. Lokasyon (Ajans)</t>
  </si>
  <si>
    <t>Başlangıç</t>
  </si>
  <si>
    <t>Profesyonel</t>
  </si>
  <si>
    <t>Ajans / Çok-lokasyon</t>
  </si>
  <si>
    <t>ÜCRETSİZ TARAMA (Pazarlama / Edinme Kanalı)</t>
  </si>
  <si>
    <t>Aylık ücretsiz tarama sayısı</t>
  </si>
  <si>
    <t>Tarama başına soru sayısı</t>
  </si>
  <si>
    <t>Soru başına grounded API maliyeti ($) — Perplexity Sonar</t>
  </si>
  <si>
    <t>Tarama başına ekstraksiyon (ucuz LLM) maliyeti ($)</t>
  </si>
  <si>
    <t>Ücretsiz → ücretli dönüşüm oranı</t>
  </si>
  <si>
    <t>ÜCRETLİ MÜŞTERİ BAŞINA TARAMA MALİYETİ</t>
  </si>
  <si>
    <t>Aylık Tarama Sayısı</t>
  </si>
  <si>
    <t>Sorgu / Tarama (kanal×soru)</t>
  </si>
  <si>
    <t>Sorgu Başına Maliyet ($)</t>
  </si>
  <si>
    <t>SABİT GİDERLER (Aylık)</t>
  </si>
  <si>
    <t>Hosting / Vercel ($)</t>
  </si>
  <si>
    <t>Upstash Redis ($)</t>
  </si>
  <si>
    <t>Diğer SaaS araçları ($)</t>
  </si>
  <si>
    <t>Yüklenici / maaş ($, opsiyonel)</t>
  </si>
  <si>
    <t>DİĞER VARSAYIMLAR</t>
  </si>
  <si>
    <t>Aylık churn oranı (kayıp oranı)</t>
  </si>
  <si>
    <t>HESAPLAMA (otomatik — Girdiler sekmesinden besleniyor)</t>
  </si>
  <si>
    <t>GELİR</t>
  </si>
  <si>
    <t>Toplam MRR ($)</t>
  </si>
  <si>
    <t>Toplam müşteri sayısı</t>
  </si>
  <si>
    <t>Karma ARPU ($/müşteri/ay)</t>
  </si>
  <si>
    <t>ÜCRETLİ MÜŞTERİ COGS (aktif taramanın işletim maliyeti)</t>
  </si>
  <si>
    <t>Müşteri Başına Aylık Maliyet ($)</t>
  </si>
  <si>
    <t>Toplam ($)</t>
  </si>
  <si>
    <t>Toplam ücretli-müşteri COGS ($)</t>
  </si>
  <si>
    <t>ÜCRETSİZ TARAMA (Pazarlama / Edinme) MALİYETİ</t>
  </si>
  <si>
    <t>Tarama başına maliyet ($)</t>
  </si>
  <si>
    <t>Aylık toplam ücretsiz tarama maliyeti ($)</t>
  </si>
  <si>
    <t>Aylık dönüşen yeni müşteri sayısı</t>
  </si>
  <si>
    <t>Müşteri edinme maliyeti — CAC ($)</t>
  </si>
  <si>
    <t>SABİT GİDERLER</t>
  </si>
  <si>
    <t>Toplam sabit gider ($/ay)</t>
  </si>
  <si>
    <t>KÂRLILIK</t>
  </si>
  <si>
    <t>Brüt kâr — ürün (MRR − ücretli COGS) ($)</t>
  </si>
  <si>
    <t>Brüt marj — ürün (%)</t>
  </si>
  <si>
    <t>Toplam gider (COGS + pazarlama + sabit) ($)</t>
  </si>
  <si>
    <t>Net kâr — tüm giderler dahil ($)</t>
  </si>
  <si>
    <t>Net marj (%)</t>
  </si>
  <si>
    <t>LTV / CAC</t>
  </si>
  <si>
    <t>Ortalama müşteri ömrü (ay)</t>
  </si>
  <si>
    <t>LTV — yaşam boyu değer ($)</t>
  </si>
  <si>
    <t>LTV : CAC oranı</t>
  </si>
  <si>
    <t>BAŞABAŞ (BREAKEVEN)</t>
  </si>
  <si>
    <t>Müşteri başına katkı payı ($)</t>
  </si>
  <si>
    <t>Başabaş müşteri sayısı (sabit giderleri karşılamak için)</t>
  </si>
  <si>
    <t>ÖZET PANO</t>
  </si>
  <si>
    <t>Girdiler sekmesini güncelledikçe bu pano otomatik değişir.</t>
  </si>
  <si>
    <t>Toplam MRR</t>
  </si>
  <si>
    <t>Karma ARPU</t>
  </si>
  <si>
    <t>Toplam ücretli-müşteri COGS</t>
  </si>
  <si>
    <t>Aylık pazarlama (ücretsiz tarama) maliyeti</t>
  </si>
  <si>
    <t>Toplam sabit gider</t>
  </si>
  <si>
    <t>Brüt kâr (ürün)</t>
  </si>
  <si>
    <t>Brüt marj (ürün)</t>
  </si>
  <si>
    <t>Net kâr (tüm giderler dahil)</t>
  </si>
  <si>
    <t>Net marj</t>
  </si>
  <si>
    <t>CAC (müşteri edinme maliyeti)</t>
  </si>
  <si>
    <t>LTV (yaşam boyu değer)</t>
  </si>
  <si>
    <t>Başabaş müşteri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</si>
</sst>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"/>
    <numFmt numFmtId="165" formatCode="#,##0.0"/>
    <numFmt numFmtId="166" formatCode="&quot;$&quot;#,##0.00"/>
    <numFmt numFmtId="167" formatCode="0.0%"/>
    <numFmt numFmtId="168" formatCode="0.00&quot;x&quot;"/>
  </numFmts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8E8CA3"/>
      <sz val="10"/>
    </font>
    <font>
      <b/>
      <color rgb="FF8B6CFF"/>
      <sz val="11"/>
    </font>
    <font>
      <b/>
      <color rgb="FF8E8CA3"/>
      <sz val="10"/>
    </font>
    <font>
      <color rgb="FFEDECF2"/>
      <sz val="11"/>
    </font>
    <font>
      <b/>
      <color rgb="FF07070C"/>
      <sz val="11"/>
    </font>
    <font>
      <b/>
      <color rgb="FF33E0D6"/>
      <sz val="11"/>
    </font>
    <font>
      <b/>
      <color rgb="FFEDECF2"/>
      <sz val="11"/>
    </font>
    <font>
      <color rgb="FFEDECF2"/>
      <sz val="12"/>
    </font>
    <font>
      <b/>
      <color rgb="FF33E0D6"/>
      <sz val="14"/>
    </font>
  </fonts>
  <fills count="5">
    <fill>
      <patternFill patternType="none"/>
    </fill>
    <fill>
      <patternFill patternType="gray125"/>
    </fill>
    <fill>
      <patternFill patternType="solid">
        <fgColor rgb="FF1A142A"/>
      </patternFill>
    </fill>
    <fill>
      <patternFill patternType="solid">
        <fgColor rgb="FF0E0E16"/>
      </patternFill>
    </fill>
    <fill>
      <patternFill patternType="solid">
        <fgColor rgb="FFFFF2AC"/>
      </patternFill>
    </fill>
  </fills>
  <borders count="3">
    <border>
      <left/>
      <right/>
      <top/>
      <bottom/>
      <diagonal/>
    </border>
    <border>
      <left/>
      <right/>
      <top/>
      <bottom style="thin">
        <color rgb="FF3A3A46"/>
      </bottom>
      <diagonal/>
    </border>
    <border>
      <left style="thin">
        <color rgb="FF3A3A46"/>
      </left>
      <right style="thin">
        <color rgb="FF3A3A46"/>
      </right>
      <top style="thin">
        <color rgb="FF3A3A46"/>
      </top>
      <bottom style="thin">
        <color rgb="FF3A3A4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/>
    <xf numFmtId="0" fontId="5" fillId="0" borderId="0" xfId="0" applyFont="1"/>
    <xf numFmtId="164" fontId="6" fillId="4" borderId="2" xfId="0" applyNumberFormat="1" applyFont="1" applyFill="1" applyBorder="1" applyAlignment="1">
      <alignment horizontal="right"/>
    </xf>
    <xf numFmtId="3" fontId="6" fillId="4" borderId="2" xfId="0" applyNumberFormat="1" applyFont="1" applyFill="1" applyBorder="1" applyAlignment="1">
      <alignment horizontal="right"/>
    </xf>
    <xf numFmtId="165" fontId="6" fillId="4" borderId="2" xfId="0" applyNumberFormat="1" applyFont="1" applyFill="1" applyBorder="1" applyAlignment="1">
      <alignment horizontal="right"/>
    </xf>
    <xf numFmtId="166" fontId="6" fillId="4" borderId="2" xfId="0" applyNumberFormat="1" applyFont="1" applyFill="1" applyBorder="1" applyAlignment="1">
      <alignment horizontal="right"/>
    </xf>
    <xf numFmtId="167" fontId="6" fillId="4" borderId="2" xfId="0" applyNumberFormat="1" applyFont="1" applyFill="1" applyBorder="1" applyAlignment="1">
      <alignment horizontal="right"/>
    </xf>
    <xf numFmtId="166" fontId="7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/>
    <xf numFmtId="166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167" fontId="10" fillId="0" borderId="1" xfId="0" applyNumberFormat="1" applyFont="1" applyBorder="1" applyAlignment="1">
      <alignment horizontal="right"/>
    </xf>
    <xf numFmtId="168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6CFF"/>
  </sheetPr>
  <dimension ref="A1:D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16" customWidth="1"/>
    <col min="4" max="4" width="20" customWidth="1"/>
  </cols>
  <sheetData>
    <row r="1" ht="28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6">
        <v>39</v>
      </c>
      <c r="C6" s="7">
        <v>40</v>
      </c>
      <c r="D6" s="8">
        <v>1</v>
      </c>
    </row>
    <row r="7" spans="1:4" x14ac:dyDescent="0.25">
      <c r="A7" s="5" t="s">
        <v>8</v>
      </c>
      <c r="B7" s="6">
        <v>99</v>
      </c>
      <c r="C7" s="7">
        <v>25</v>
      </c>
      <c r="D7" s="8">
        <v>1</v>
      </c>
    </row>
    <row r="8" spans="1:4" x14ac:dyDescent="0.25">
      <c r="A8" s="5" t="s">
        <v>9</v>
      </c>
      <c r="B8" s="6">
        <v>249</v>
      </c>
      <c r="C8" s="7">
        <v>8</v>
      </c>
      <c r="D8" s="8">
        <v>3</v>
      </c>
    </row>
    <row r="10" ht="20" customHeight="1" spans="1:4" x14ac:dyDescent="0.25">
      <c r="A10" s="3" t="s">
        <v>10</v>
      </c>
      <c r="B10" s="3"/>
      <c r="C10" s="3"/>
      <c r="D10" s="3"/>
    </row>
    <row r="11" spans="1:2" x14ac:dyDescent="0.25">
      <c r="A11" s="5" t="s">
        <v>11</v>
      </c>
      <c r="B11" s="7">
        <v>2000</v>
      </c>
    </row>
    <row r="12" spans="1:2" x14ac:dyDescent="0.25">
      <c r="A12" s="5" t="s">
        <v>12</v>
      </c>
      <c r="B12" s="7">
        <v>6</v>
      </c>
    </row>
    <row r="13" spans="1:2" x14ac:dyDescent="0.25">
      <c r="A13" s="5" t="s">
        <v>13</v>
      </c>
      <c r="B13" s="9">
        <v>0.012</v>
      </c>
    </row>
    <row r="14" spans="1:2" x14ac:dyDescent="0.25">
      <c r="A14" s="5" t="s">
        <v>14</v>
      </c>
      <c r="B14" s="9">
        <v>0.004</v>
      </c>
    </row>
    <row r="15" spans="1:2" x14ac:dyDescent="0.25">
      <c r="A15" s="5" t="s">
        <v>15</v>
      </c>
      <c r="B15" s="10">
        <v>0.025</v>
      </c>
    </row>
    <row r="17" ht="20" customHeight="1" spans="1:4" x14ac:dyDescent="0.25">
      <c r="A17" s="3" t="s">
        <v>16</v>
      </c>
      <c r="B17" s="3"/>
      <c r="C17" s="3"/>
      <c r="D17" s="3"/>
    </row>
    <row r="18" spans="1:4" x14ac:dyDescent="0.25">
      <c r="A18" s="4" t="s">
        <v>3</v>
      </c>
      <c r="B18" s="4" t="s">
        <v>17</v>
      </c>
      <c r="C18" s="4" t="s">
        <v>18</v>
      </c>
      <c r="D18" s="4" t="s">
        <v>19</v>
      </c>
    </row>
    <row r="19" spans="1:4" x14ac:dyDescent="0.25">
      <c r="A19" s="5" t="s">
        <v>7</v>
      </c>
      <c r="B19" s="7">
        <v>4</v>
      </c>
      <c r="C19" s="7">
        <v>8</v>
      </c>
      <c r="D19" s="9">
        <v>0.01</v>
      </c>
    </row>
    <row r="20" spans="1:4" x14ac:dyDescent="0.25">
      <c r="A20" s="5" t="s">
        <v>8</v>
      </c>
      <c r="B20" s="7">
        <v>30</v>
      </c>
      <c r="C20" s="7">
        <v>8</v>
      </c>
      <c r="D20" s="9">
        <v>0.01</v>
      </c>
    </row>
    <row r="21" spans="1:4" x14ac:dyDescent="0.25">
      <c r="A21" s="5" t="s">
        <v>9</v>
      </c>
      <c r="B21" s="7">
        <v>30</v>
      </c>
      <c r="C21" s="7">
        <v>8</v>
      </c>
      <c r="D21" s="9">
        <v>0.01</v>
      </c>
    </row>
    <row r="23" ht="20" customHeight="1" spans="1:4" x14ac:dyDescent="0.25">
      <c r="A23" s="3" t="s">
        <v>20</v>
      </c>
      <c r="B23" s="3"/>
      <c r="C23" s="3"/>
      <c r="D23" s="3"/>
    </row>
    <row r="24" spans="1:2" x14ac:dyDescent="0.25">
      <c r="A24" s="5" t="s">
        <v>21</v>
      </c>
      <c r="B24" s="6">
        <v>20</v>
      </c>
    </row>
    <row r="25" spans="1:2" x14ac:dyDescent="0.25">
      <c r="A25" s="5" t="s">
        <v>22</v>
      </c>
      <c r="B25" s="6">
        <v>10</v>
      </c>
    </row>
    <row r="26" spans="1:2" x14ac:dyDescent="0.25">
      <c r="A26" s="5" t="s">
        <v>23</v>
      </c>
      <c r="B26" s="6">
        <v>50</v>
      </c>
    </row>
    <row r="27" spans="1:2" x14ac:dyDescent="0.25">
      <c r="A27" s="5" t="s">
        <v>24</v>
      </c>
      <c r="B27" s="6">
        <v>0</v>
      </c>
    </row>
    <row r="29" ht="20" customHeight="1" spans="1:4" x14ac:dyDescent="0.25">
      <c r="A29" s="3" t="s">
        <v>25</v>
      </c>
      <c r="B29" s="3"/>
      <c r="C29" s="3"/>
      <c r="D29" s="3"/>
    </row>
    <row r="30" spans="1:2" x14ac:dyDescent="0.25">
      <c r="A30" s="5" t="s">
        <v>26</v>
      </c>
      <c r="B30" s="10">
        <v>0.04</v>
      </c>
    </row>
  </sheetData>
  <mergeCells count="7">
    <mergeCell ref="A1:D1"/>
    <mergeCell ref="A2:D2"/>
    <mergeCell ref="A4:D4"/>
    <mergeCell ref="A10:D10"/>
    <mergeCell ref="A17:D17"/>
    <mergeCell ref="A23:D23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E0D6"/>
  </sheetPr>
  <dimension ref="A1:D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8" customWidth="1"/>
    <col min="3" max="4" width="16" customWidth="1"/>
  </cols>
  <sheetData>
    <row r="1" ht="28" customHeight="1" spans="1:4" x14ac:dyDescent="0.25">
      <c r="A1" s="1" t="s">
        <v>27</v>
      </c>
      <c r="B1" s="1"/>
      <c r="C1" s="1"/>
      <c r="D1" s="1"/>
    </row>
    <row r="3" ht="20" customHeight="1" spans="1:4" x14ac:dyDescent="0.25">
      <c r="A3" s="3" t="s">
        <v>28</v>
      </c>
      <c r="B3" s="3"/>
      <c r="C3" s="3"/>
      <c r="D3" s="3"/>
    </row>
    <row r="4" spans="1:2" x14ac:dyDescent="0.25">
      <c r="A4" s="5" t="s">
        <v>29</v>
      </c>
      <c r="B4" s="11">
        <f>SUMPRODUCT(Girdiler!B6:B8,Girdiler!C6:C8)</f>
      </c>
    </row>
    <row r="5" spans="1:2" x14ac:dyDescent="0.25">
      <c r="A5" s="5" t="s">
        <v>30</v>
      </c>
      <c r="B5" s="12">
        <f>SUM(Girdiler!C6:C8)</f>
      </c>
    </row>
    <row r="6" spans="1:2" x14ac:dyDescent="0.25">
      <c r="A6" s="5" t="s">
        <v>31</v>
      </c>
      <c r="B6" s="13">
        <f>B4/MAX(B5,0.0001)</f>
      </c>
    </row>
    <row r="8" ht="20" customHeight="1" spans="1:4" x14ac:dyDescent="0.25">
      <c r="A8" s="3" t="s">
        <v>32</v>
      </c>
      <c r="B8" s="3"/>
      <c r="C8" s="3"/>
      <c r="D8" s="3"/>
    </row>
    <row r="9" spans="1:4" x14ac:dyDescent="0.25">
      <c r="A9" s="4" t="s">
        <v>3</v>
      </c>
      <c r="B9" s="4" t="s">
        <v>33</v>
      </c>
      <c r="C9" s="4" t="s">
        <v>5</v>
      </c>
      <c r="D9" s="4" t="s">
        <v>34</v>
      </c>
    </row>
    <row r="10" spans="1:4" x14ac:dyDescent="0.25">
      <c r="A10" s="5" t="s">
        <v>7</v>
      </c>
      <c r="B10" s="13">
        <f>Girdiler!B19*Girdiler!C19*Girdiler!D19*Girdiler!D6</f>
      </c>
      <c r="C10" s="12">
        <f>Girdiler!C6</f>
      </c>
      <c r="D10" s="13">
        <f>B10*C10</f>
      </c>
    </row>
    <row r="11" spans="1:4" x14ac:dyDescent="0.25">
      <c r="A11" s="5" t="s">
        <v>8</v>
      </c>
      <c r="B11" s="13">
        <f>Girdiler!B20*Girdiler!C20*Girdiler!D20*Girdiler!D7</f>
      </c>
      <c r="C11" s="12">
        <f>Girdiler!C7</f>
      </c>
      <c r="D11" s="13">
        <f>B11*C11</f>
      </c>
    </row>
    <row r="12" spans="1:4" x14ac:dyDescent="0.25">
      <c r="A12" s="5" t="s">
        <v>9</v>
      </c>
      <c r="B12" s="13">
        <f>Girdiler!B21*Girdiler!C21*Girdiler!D21*Girdiler!D8</f>
      </c>
      <c r="C12" s="12">
        <f>Girdiler!C8</f>
      </c>
      <c r="D12" s="13">
        <f>B12*C12</f>
      </c>
    </row>
    <row r="13" spans="1:4" x14ac:dyDescent="0.25">
      <c r="A13" s="5" t="s">
        <v>35</v>
      </c>
      <c r="D13" s="14">
        <f>SUM(D10:D12)</f>
      </c>
    </row>
    <row r="15" ht="20" customHeight="1" spans="1:4" x14ac:dyDescent="0.25">
      <c r="A15" s="3" t="s">
        <v>36</v>
      </c>
      <c r="B15" s="3"/>
      <c r="C15" s="3"/>
      <c r="D15" s="3"/>
    </row>
    <row r="16" spans="1:2" x14ac:dyDescent="0.25">
      <c r="A16" s="5" t="s">
        <v>37</v>
      </c>
      <c r="B16" s="13">
        <f>Girdiler!B12*Girdiler!B13+Girdiler!B14</f>
      </c>
    </row>
    <row r="17" spans="1:2" x14ac:dyDescent="0.25">
      <c r="A17" s="5" t="s">
        <v>38</v>
      </c>
      <c r="B17" s="14">
        <f>Girdiler!B11*B16</f>
      </c>
    </row>
    <row r="18" spans="1:2" x14ac:dyDescent="0.25">
      <c r="A18" s="5" t="s">
        <v>39</v>
      </c>
      <c r="B18" s="15">
        <f>Girdiler!B11*Girdiler!B15</f>
      </c>
    </row>
    <row r="19" spans="1:2" x14ac:dyDescent="0.25">
      <c r="A19" s="5" t="s">
        <v>40</v>
      </c>
      <c r="B19" s="14">
        <f>B17/MAX(B18,0.0001)</f>
      </c>
    </row>
    <row r="21" ht="20" customHeight="1" spans="1:4" x14ac:dyDescent="0.25">
      <c r="A21" s="3" t="s">
        <v>41</v>
      </c>
      <c r="B21" s="3"/>
      <c r="C21" s="3"/>
      <c r="D21" s="3"/>
    </row>
    <row r="22" spans="1:2" x14ac:dyDescent="0.25">
      <c r="A22" s="5" t="s">
        <v>42</v>
      </c>
      <c r="B22" s="13">
        <f>SUM(Girdiler!B24:B27)</f>
      </c>
    </row>
    <row r="24" ht="20" customHeight="1" spans="1:4" x14ac:dyDescent="0.25">
      <c r="A24" s="3" t="s">
        <v>43</v>
      </c>
      <c r="B24" s="3"/>
      <c r="C24" s="3"/>
      <c r="D24" s="3"/>
    </row>
    <row r="25" spans="1:2" x14ac:dyDescent="0.25">
      <c r="A25" s="5" t="s">
        <v>44</v>
      </c>
      <c r="B25" s="14">
        <f>B4-D13</f>
      </c>
    </row>
    <row r="26" spans="1:2" x14ac:dyDescent="0.25">
      <c r="A26" s="5" t="s">
        <v>45</v>
      </c>
      <c r="B26" s="16">
        <f>B25/MAX(B4,0.0001)</f>
      </c>
    </row>
    <row r="27" spans="1:2" x14ac:dyDescent="0.25">
      <c r="A27" s="5" t="s">
        <v>46</v>
      </c>
      <c r="B27" s="13">
        <f>D13+B17+B22</f>
      </c>
    </row>
    <row r="28" spans="1:2" x14ac:dyDescent="0.25">
      <c r="A28" s="5" t="s">
        <v>47</v>
      </c>
      <c r="B28" s="14">
        <f>B4-B27</f>
      </c>
    </row>
    <row r="29" spans="1:2" x14ac:dyDescent="0.25">
      <c r="A29" s="5" t="s">
        <v>48</v>
      </c>
      <c r="B29" s="16">
        <f>B28/MAX(B4,0.0001)</f>
      </c>
    </row>
    <row r="31" ht="20" customHeight="1" spans="1:4" x14ac:dyDescent="0.25">
      <c r="A31" s="3" t="s">
        <v>49</v>
      </c>
      <c r="B31" s="3"/>
      <c r="C31" s="3"/>
      <c r="D31" s="3"/>
    </row>
    <row r="32" spans="1:2" x14ac:dyDescent="0.25">
      <c r="A32" s="5" t="s">
        <v>50</v>
      </c>
      <c r="B32" s="15">
        <f>1/MAX(Girdiler!B30,0.0001)</f>
      </c>
    </row>
    <row r="33" spans="1:2" x14ac:dyDescent="0.25">
      <c r="A33" s="5" t="s">
        <v>51</v>
      </c>
      <c r="B33" s="14">
        <f>B6*B26*B32</f>
      </c>
    </row>
    <row r="34" spans="1:2" x14ac:dyDescent="0.25">
      <c r="A34" s="5" t="s">
        <v>52</v>
      </c>
      <c r="B34" s="17">
        <f>B33/MAX(B19,0.0001)</f>
      </c>
    </row>
    <row r="36" ht="20" customHeight="1" spans="1:4" x14ac:dyDescent="0.25">
      <c r="A36" s="3" t="s">
        <v>53</v>
      </c>
      <c r="B36" s="3"/>
      <c r="C36" s="3"/>
      <c r="D36" s="3"/>
    </row>
    <row r="37" spans="1:2" x14ac:dyDescent="0.25">
      <c r="A37" s="5" t="s">
        <v>54</v>
      </c>
      <c r="B37" s="13">
        <f>B6-(D13/MAX(B5,0.0001))</f>
      </c>
    </row>
    <row r="38" spans="1:2" x14ac:dyDescent="0.25">
      <c r="A38" s="5" t="s">
        <v>55</v>
      </c>
      <c r="B38" s="18">
        <f>B22/MAX(B37,0.0001)</f>
      </c>
    </row>
  </sheetData>
  <mergeCells count="8">
    <mergeCell ref="A1:D1"/>
    <mergeCell ref="A3:D3"/>
    <mergeCell ref="A8:D8"/>
    <mergeCell ref="A15:D15"/>
    <mergeCell ref="A21:D21"/>
    <mergeCell ref="A24:D24"/>
    <mergeCell ref="A31:D31"/>
    <mergeCell ref="A36:D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5C8A"/>
  </sheetPr>
  <dimension ref="A1:B17"/>
  <sheetFormatPr defaultRowHeight="15" outlineLevelRow="0" outlineLevelCol="0" x14ac:dyDescent="55"/>
  <cols>
    <col min="1" max="1" width="38" customWidth="1"/>
    <col min="2" max="2" width="20" customWidth="1"/>
  </cols>
  <sheetData>
    <row r="1" ht="28" customHeight="1" spans="1:2" x14ac:dyDescent="0.25">
      <c r="A1" s="1" t="s">
        <v>56</v>
      </c>
      <c r="B1" s="1"/>
    </row>
    <row r="2" spans="1:2" x14ac:dyDescent="0.25">
      <c r="A2" s="2" t="s">
        <v>57</v>
      </c>
      <c r="B2" s="2"/>
    </row>
    <row r="4" ht="22" customHeight="1" spans="1:2" x14ac:dyDescent="0.25">
      <c r="A4" s="19" t="s">
        <v>58</v>
      </c>
      <c r="B4" s="20">
        <f>Hesaplama!B4</f>
      </c>
    </row>
    <row r="5" ht="22" customHeight="1" spans="1:2" x14ac:dyDescent="0.25">
      <c r="A5" s="19" t="s">
        <v>30</v>
      </c>
      <c r="B5" s="21">
        <f>Hesaplama!B5</f>
      </c>
    </row>
    <row r="6" ht="22" customHeight="1" spans="1:2" x14ac:dyDescent="0.25">
      <c r="A6" s="19" t="s">
        <v>59</v>
      </c>
      <c r="B6" s="20">
        <f>Hesaplama!B6</f>
      </c>
    </row>
    <row r="7" ht="22" customHeight="1" spans="1:2" x14ac:dyDescent="0.25">
      <c r="A7" s="19" t="s">
        <v>60</v>
      </c>
      <c r="B7" s="20">
        <f>Hesaplama!D13</f>
      </c>
    </row>
    <row r="8" ht="22" customHeight="1" spans="1:2" x14ac:dyDescent="0.25">
      <c r="A8" s="19" t="s">
        <v>61</v>
      </c>
      <c r="B8" s="20">
        <f>Hesaplama!B17</f>
      </c>
    </row>
    <row r="9" ht="22" customHeight="1" spans="1:2" x14ac:dyDescent="0.25">
      <c r="A9" s="19" t="s">
        <v>62</v>
      </c>
      <c r="B9" s="20">
        <f>Hesaplama!B22</f>
      </c>
    </row>
    <row r="10" ht="22" customHeight="1" spans="1:2" x14ac:dyDescent="0.25">
      <c r="A10" s="19" t="s">
        <v>63</v>
      </c>
      <c r="B10" s="20">
        <f>Hesaplama!B25</f>
      </c>
    </row>
    <row r="11" ht="22" customHeight="1" spans="1:2" x14ac:dyDescent="0.25">
      <c r="A11" s="19" t="s">
        <v>64</v>
      </c>
      <c r="B11" s="22">
        <f>Hesaplama!B26</f>
      </c>
    </row>
    <row r="12" ht="22" customHeight="1" spans="1:2" x14ac:dyDescent="0.25">
      <c r="A12" s="19" t="s">
        <v>65</v>
      </c>
      <c r="B12" s="20">
        <f>Hesaplama!B28</f>
      </c>
    </row>
    <row r="13" ht="22" customHeight="1" spans="1:2" x14ac:dyDescent="0.25">
      <c r="A13" s="19" t="s">
        <v>66</v>
      </c>
      <c r="B13" s="22">
        <f>Hesaplama!B29</f>
      </c>
    </row>
    <row r="14" ht="22" customHeight="1" spans="1:2" x14ac:dyDescent="0.25">
      <c r="A14" s="19" t="s">
        <v>67</v>
      </c>
      <c r="B14" s="20">
        <f>Hesaplama!B19</f>
      </c>
    </row>
    <row r="15" ht="22" customHeight="1" spans="1:2" x14ac:dyDescent="0.25">
      <c r="A15" s="19" t="s">
        <v>68</v>
      </c>
      <c r="B15" s="20">
        <f>Hesaplama!B33</f>
      </c>
    </row>
    <row r="16" ht="22" customHeight="1" spans="1:2" x14ac:dyDescent="0.25">
      <c r="A16" s="19" t="s">
        <v>52</v>
      </c>
      <c r="B16" s="23">
        <f>Hesaplama!B34</f>
      </c>
    </row>
    <row r="17" ht="22" customHeight="1" spans="1:2" x14ac:dyDescent="0.25">
      <c r="A17" s="19" t="s">
        <v>69</v>
      </c>
      <c r="B17" s="24">
        <f>Hesaplama!B38</f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Girdiler</vt:lpstr>
      <vt:lpstr>Hesaplama</vt:lpstr>
      <vt:lpstr>Özet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Gauge</dc:creator>
  <dc:title/>
  <dc:subject/>
  <dc:description/>
  <cp:keywords/>
  <cp:category/>
  <cp:lastModifiedBy>Unknown</cp:lastModifiedBy>
  <dcterms:created xsi:type="dcterms:W3CDTF">2026-08-26T17:12:23Z</dcterms:created>
  <dcterms:modified xsi:type="dcterms:W3CDTF">2026-08-26T17:12:23Z</dcterms:modified>
</cp:coreProperties>
</file>